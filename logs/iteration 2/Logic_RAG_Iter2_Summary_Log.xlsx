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fig Summary" sheetId="1" state="visible" r:id="rId1"/>
    <sheet xmlns:r="http://schemas.openxmlformats.org/officeDocument/2006/relationships" name="Full Question Log" sheetId="2" state="visible" r:id="rId2"/>
    <sheet xmlns:r="http://schemas.openxmlformats.org/officeDocument/2006/relationships" name="By Question Type" sheetId="3" state="visible" r:id="rId3"/>
    <sheet xmlns:r="http://schemas.openxmlformats.org/officeDocument/2006/relationships" name="Unfaithful Cases" sheetId="4" state="visible" r:id="rId4"/>
    <sheet xmlns:r="http://schemas.openxmlformats.org/officeDocument/2006/relationships" name="Iter1 vs Iter2 Delta" sheetId="5" state="visible" r:id="rId5"/>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Arial"/>
      <b val="1"/>
      <color rgb="00FFFFFF"/>
      <sz val="13"/>
    </font>
    <font>
      <name val="Arial"/>
      <b val="1"/>
      <color rgb="00FFFFFF"/>
      <sz val="9"/>
    </font>
    <font>
      <name val="Arial"/>
      <b val="1"/>
      <color rgb="001A1A1A"/>
      <sz val="9"/>
    </font>
    <font>
      <name val="Arial"/>
      <color rgb="001A1A1A"/>
      <sz val="9"/>
    </font>
    <font>
      <name val="Arial"/>
      <b val="1"/>
      <color rgb="00155724"/>
      <sz val="9"/>
    </font>
    <font>
      <name val="Arial"/>
      <b val="1"/>
      <color rgb="00721C24"/>
      <sz val="9"/>
    </font>
    <font>
      <name val="Arial"/>
      <i val="1"/>
      <color rgb="00721C24"/>
      <sz val="9"/>
    </font>
    <font>
      <name val="Arial"/>
      <b val="1"/>
      <color rgb="001B2A4A"/>
      <sz val="9"/>
    </font>
    <font>
      <name val="Arial"/>
      <color rgb="00155724"/>
      <sz val="9"/>
    </font>
    <font>
      <name val="Arial"/>
      <color rgb="00721C24"/>
      <sz val="9"/>
    </font>
    <font>
      <name val="Arial"/>
      <b val="1"/>
      <color rgb="00856404"/>
      <sz val="9"/>
    </font>
    <font>
      <name val="Arial"/>
      <color rgb="00856404"/>
      <sz val="9"/>
    </font>
    <font>
      <name val="Arial"/>
      <b val="1"/>
      <color rgb="00495057"/>
      <sz val="9"/>
    </font>
    <font>
      <name val="Arial"/>
      <color rgb="00495057"/>
      <sz val="9"/>
    </font>
    <font>
      <name val="Arial"/>
      <b val="1"/>
      <color rgb="00FFFFFF"/>
      <sz val="8"/>
    </font>
    <font>
      <name val="Arial"/>
      <b val="1"/>
      <color rgb="00FFFFFF"/>
      <sz val="10"/>
    </font>
  </fonts>
  <fills count="14">
    <fill>
      <patternFill/>
    </fill>
    <fill>
      <patternFill patternType="gray125"/>
    </fill>
    <fill>
      <patternFill patternType="solid">
        <fgColor rgb="001B2A4A"/>
      </patternFill>
    </fill>
    <fill>
      <patternFill patternType="solid">
        <fgColor rgb="00FFFFFF"/>
      </patternFill>
    </fill>
    <fill>
      <patternFill patternType="solid">
        <fgColor rgb="00D4EDDA"/>
      </patternFill>
    </fill>
    <fill>
      <patternFill patternType="solid">
        <fgColor rgb="00F8D7DA"/>
      </patternFill>
    </fill>
    <fill>
      <patternFill patternType="solid">
        <fgColor rgb="00F4F7FB"/>
      </patternFill>
    </fill>
    <fill>
      <patternFill patternType="solid">
        <fgColor rgb="00FFF3CD"/>
      </patternFill>
    </fill>
    <fill>
      <patternFill patternType="solid">
        <fgColor rgb="00E9ECEF"/>
      </patternFill>
    </fill>
    <fill>
      <patternFill patternType="solid">
        <fgColor rgb="0034495E"/>
      </patternFill>
    </fill>
    <fill>
      <patternFill patternType="solid">
        <fgColor rgb="002E5FA3"/>
      </patternFill>
    </fill>
    <fill>
      <patternFill patternType="solid">
        <fgColor rgb="001E7E34"/>
      </patternFill>
    </fill>
    <fill>
      <patternFill patternType="solid">
        <fgColor rgb="00C0392B"/>
      </patternFill>
    </fill>
    <fill>
      <patternFill patternType="solid">
        <fgColor rgb="007D3C98"/>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31">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4"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6" fillId="5" borderId="1" applyAlignment="1" pivotButton="0" quotePrefix="0" xfId="0">
      <alignment horizontal="center" vertical="center" wrapText="1"/>
    </xf>
    <xf numFmtId="0" fontId="3"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7" fillId="5" borderId="0" applyAlignment="1" pivotButton="0" quotePrefix="0" xfId="0">
      <alignment horizontal="left" vertical="center" wrapText="1"/>
    </xf>
    <xf numFmtId="0" fontId="8" fillId="0" borderId="0" pivotButton="0" quotePrefix="0" xfId="0"/>
    <xf numFmtId="0" fontId="5" fillId="4" borderId="1" applyAlignment="1" pivotButton="0" quotePrefix="0" xfId="0">
      <alignment horizontal="left" vertical="center" wrapText="1"/>
    </xf>
    <xf numFmtId="0" fontId="9" fillId="4" borderId="1" applyAlignment="1" pivotButton="0" quotePrefix="0" xfId="0">
      <alignment horizontal="left" vertical="center" wrapText="1"/>
    </xf>
    <xf numFmtId="0" fontId="6" fillId="5" borderId="1" applyAlignment="1" pivotButton="0" quotePrefix="0" xfId="0">
      <alignment horizontal="left" vertical="center" wrapText="1"/>
    </xf>
    <xf numFmtId="0" fontId="10" fillId="5" borderId="1" applyAlignment="1" pivotButton="0" quotePrefix="0" xfId="0">
      <alignment horizontal="left" vertical="center" wrapText="1"/>
    </xf>
    <xf numFmtId="0" fontId="11" fillId="7" borderId="1" applyAlignment="1" pivotButton="0" quotePrefix="0" xfId="0">
      <alignment horizontal="left" vertical="center" wrapText="1"/>
    </xf>
    <xf numFmtId="0" fontId="12" fillId="7" borderId="1" applyAlignment="1" pivotButton="0" quotePrefix="0" xfId="0">
      <alignment horizontal="left" vertical="center" wrapText="1"/>
    </xf>
    <xf numFmtId="0" fontId="13" fillId="8" borderId="1" applyAlignment="1" pivotButton="0" quotePrefix="0" xfId="0">
      <alignment horizontal="left" vertical="center" wrapText="1"/>
    </xf>
    <xf numFmtId="0" fontId="14" fillId="8" borderId="1" applyAlignment="1" pivotButton="0" quotePrefix="0" xfId="0">
      <alignment horizontal="left" vertical="center" wrapText="1"/>
    </xf>
    <xf numFmtId="0" fontId="15" fillId="9" borderId="1" applyAlignment="1" pivotButton="0" quotePrefix="0" xfId="0">
      <alignment horizontal="center" vertical="center" wrapText="1"/>
    </xf>
    <xf numFmtId="0" fontId="16" fillId="10" borderId="1" applyAlignment="1" pivotButton="0" quotePrefix="0" xfId="0">
      <alignment horizontal="center" vertical="center" wrapText="1"/>
    </xf>
    <xf numFmtId="0" fontId="16" fillId="11" borderId="1" applyAlignment="1" pivotButton="0" quotePrefix="0" xfId="0">
      <alignment horizontal="center" vertical="center" wrapText="1"/>
    </xf>
    <xf numFmtId="0" fontId="16" fillId="12" borderId="1" applyAlignment="1" pivotButton="0" quotePrefix="0" xfId="0">
      <alignment horizontal="center" vertical="center" wrapText="1"/>
    </xf>
    <xf numFmtId="0" fontId="16" fillId="13" borderId="1" applyAlignment="1" pivotButton="0" quotePrefix="0" xfId="0">
      <alignment horizontal="center" vertical="center" wrapText="1"/>
    </xf>
    <xf numFmtId="0" fontId="15" fillId="10" borderId="1" applyAlignment="1" pivotButton="0" quotePrefix="0" xfId="0">
      <alignment horizontal="center" vertical="center" wrapText="1"/>
    </xf>
    <xf numFmtId="0" fontId="15" fillId="11" borderId="1" applyAlignment="1" pivotButton="0" quotePrefix="0" xfId="0">
      <alignment horizontal="center" vertical="center" wrapText="1"/>
    </xf>
    <xf numFmtId="0" fontId="15" fillId="12" borderId="1" applyAlignment="1" pivotButton="0" quotePrefix="0" xfId="0">
      <alignment horizontal="center" vertical="center" wrapText="1"/>
    </xf>
    <xf numFmtId="0" fontId="15" fillId="13" borderId="1" applyAlignment="1" pivotButton="0" quotePrefix="0" xfId="0">
      <alignment horizontal="center" vertical="center" wrapText="1"/>
    </xf>
    <xf numFmtId="0" fontId="4" fillId="3" borderId="1" applyAlignment="1" pivotButton="0" quotePrefix="0" xfId="0">
      <alignment horizontal="left" vertical="center" wrapText="1"/>
    </xf>
    <xf numFmtId="0" fontId="14" fillId="8" borderId="1" applyAlignment="1" pivotButton="0" quotePrefix="0" xfId="0">
      <alignment horizontal="center" vertical="center" wrapText="1"/>
    </xf>
    <xf numFmtId="0" fontId="4" fillId="6"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6" customWidth="1" min="1" max="1"/>
    <col width="14" customWidth="1" min="2" max="2"/>
    <col width="13" customWidth="1" min="3" max="3"/>
    <col width="13" customWidth="1" min="4" max="4"/>
    <col width="12" customWidth="1" min="5" max="5"/>
    <col width="11" customWidth="1" min="6" max="6"/>
    <col width="14" customWidth="1" min="7" max="7"/>
    <col width="16" customWidth="1" min="8" max="8"/>
    <col width="18" customWidth="1" min="9" max="9"/>
    <col width="20" customWidth="1" min="10" max="10"/>
    <col width="18" customWidth="1" min="11" max="11"/>
  </cols>
  <sheetData>
    <row r="1" ht="26" customHeight="1">
      <c r="A1" s="1" t="inlineStr">
        <is>
          <t>Logic RAG · Iteration 2 — Configuration Summary</t>
        </is>
      </c>
    </row>
    <row r="2" ht="34" customHeight="1">
      <c r="A2" s="2" t="inlineStr">
        <is>
          <t>Configuration</t>
        </is>
      </c>
      <c r="B2" s="2" t="inlineStr">
        <is>
          <t>Avg Precision@K</t>
        </is>
      </c>
      <c r="C2" s="2" t="inlineStr">
        <is>
          <t>Avg Recall</t>
        </is>
      </c>
      <c r="D2" s="2" t="inlineStr">
        <is>
          <t>Avg ROUGE-L</t>
        </is>
      </c>
      <c r="E2" s="2" t="inlineStr">
        <is>
          <t>Recall YES</t>
        </is>
      </c>
      <c r="F2" s="2" t="inlineStr">
        <is>
          <t>Recall NO</t>
        </is>
      </c>
      <c r="G2" s="2" t="inlineStr">
        <is>
          <t>Unanswerable</t>
        </is>
      </c>
      <c r="H2" s="2" t="inlineStr">
        <is>
          <t>Faithful
(= 1)</t>
        </is>
      </c>
      <c r="I2" s="2" t="inlineStr">
        <is>
          <t>Unfaithful
(= 0)</t>
        </is>
      </c>
      <c r="J2" s="2" t="inlineStr">
        <is>
          <t>Unclear / Review
(= −1)</t>
        </is>
      </c>
      <c r="K2" s="2" t="inlineStr">
        <is>
          <t>N/A
Unanswerable</t>
        </is>
      </c>
    </row>
    <row r="3" ht="18" customHeight="1">
      <c r="A3" s="3" t="inlineStr">
        <is>
          <t>Clean · K=3</t>
        </is>
      </c>
      <c r="B3" s="4" t="n">
        <v>0.75</v>
      </c>
      <c r="C3" s="4" t="n">
        <v>0.647</v>
      </c>
      <c r="D3" s="4" t="n">
        <v>0.262</v>
      </c>
      <c r="E3" s="4" t="n">
        <v>11</v>
      </c>
      <c r="F3" s="4" t="n">
        <v>6</v>
      </c>
      <c r="G3" s="4" t="n">
        <v>3</v>
      </c>
      <c r="H3" s="5" t="n">
        <v>16</v>
      </c>
      <c r="I3" s="6" t="n">
        <v>1</v>
      </c>
      <c r="J3" s="4" t="n">
        <v>0</v>
      </c>
      <c r="K3" s="4" t="n">
        <v>3</v>
      </c>
    </row>
    <row r="4" ht="18" customHeight="1">
      <c r="A4" s="7" t="inlineStr">
        <is>
          <t>Overlap · K=3</t>
        </is>
      </c>
      <c r="B4" s="8" t="n">
        <v>0.8</v>
      </c>
      <c r="C4" s="8" t="n">
        <v>0.824</v>
      </c>
      <c r="D4" s="8" t="n">
        <v>0.258</v>
      </c>
      <c r="E4" s="8" t="n">
        <v>14</v>
      </c>
      <c r="F4" s="8" t="n">
        <v>3</v>
      </c>
      <c r="G4" s="8" t="n">
        <v>3</v>
      </c>
      <c r="H4" s="5" t="n">
        <v>15</v>
      </c>
      <c r="I4" s="6" t="n">
        <v>2</v>
      </c>
      <c r="J4" s="8" t="n">
        <v>0</v>
      </c>
      <c r="K4" s="8" t="n">
        <v>3</v>
      </c>
    </row>
    <row r="5" ht="18" customHeight="1">
      <c r="A5" s="3" t="inlineStr">
        <is>
          <t>Clean · K=5</t>
        </is>
      </c>
      <c r="B5" s="4" t="n">
        <v>0.76</v>
      </c>
      <c r="C5" s="4" t="n">
        <v>0.647</v>
      </c>
      <c r="D5" s="4" t="n">
        <v>0.235</v>
      </c>
      <c r="E5" s="4" t="n">
        <v>11</v>
      </c>
      <c r="F5" s="4" t="n">
        <v>6</v>
      </c>
      <c r="G5" s="4" t="n">
        <v>3</v>
      </c>
      <c r="H5" s="5" t="n">
        <v>15</v>
      </c>
      <c r="I5" s="6" t="n">
        <v>2</v>
      </c>
      <c r="J5" s="4" t="n">
        <v>0</v>
      </c>
      <c r="K5" s="4" t="n">
        <v>3</v>
      </c>
    </row>
    <row r="6" ht="18" customHeight="1">
      <c r="A6" s="7" t="inlineStr">
        <is>
          <t>Overlap · K=5</t>
        </is>
      </c>
      <c r="B6" s="8" t="n">
        <v>0.79</v>
      </c>
      <c r="C6" s="8" t="n">
        <v>0.706</v>
      </c>
      <c r="D6" s="8" t="n">
        <v>0.245</v>
      </c>
      <c r="E6" s="8" t="n">
        <v>12</v>
      </c>
      <c r="F6" s="8" t="n">
        <v>5</v>
      </c>
      <c r="G6" s="8" t="n">
        <v>3</v>
      </c>
      <c r="H6" s="5" t="n">
        <v>16</v>
      </c>
      <c r="I6" s="6" t="n">
        <v>1</v>
      </c>
      <c r="J6" s="8" t="n">
        <v>0</v>
      </c>
      <c r="K6" s="8" t="n">
        <v>3</v>
      </c>
    </row>
    <row r="9">
      <c r="A9" s="9" t="inlineStr">
        <is>
          <t>⚠  DATA NOTE: The stored "Auditor Verdict" column in all Iteration 2 files encodes -1 for every answerable question (pipeline bug). True faithfulness has been re-parsed from the Auditor Raw text field and is used throughout this report.</t>
        </is>
      </c>
    </row>
    <row r="11">
      <c r="A11" s="10" t="inlineStr">
        <is>
          <t>FAITHFULNESS VERDICT KEY</t>
        </is>
      </c>
    </row>
    <row r="12">
      <c r="A12" s="11" t="inlineStr">
        <is>
          <t>1 = Faithful</t>
        </is>
      </c>
      <c r="C12" s="12" t="inlineStr">
        <is>
          <t>Answer is fully grounded in retrieved context</t>
        </is>
      </c>
    </row>
    <row r="13">
      <c r="A13" s="13" t="inlineStr">
        <is>
          <t>0 = Unfaithful</t>
        </is>
      </c>
      <c r="C13" s="14" t="inlineStr">
        <is>
          <t>Answer contains content not supported by context</t>
        </is>
      </c>
    </row>
    <row r="14">
      <c r="A14" s="15" t="inlineStr">
        <is>
          <t>-1 = Unclear</t>
        </is>
      </c>
      <c r="C14" s="16" t="inlineStr">
        <is>
          <t>Needs manual review — borderline or ambiguous</t>
        </is>
      </c>
    </row>
    <row r="15">
      <c r="A15" s="17" t="inlineStr">
        <is>
          <t>N/A</t>
        </is>
      </c>
      <c r="C15" s="18" t="inlineStr">
        <is>
          <t>Unanswerable question — correctly rejected by pipeline</t>
        </is>
      </c>
    </row>
  </sheetData>
  <mergeCells count="11">
    <mergeCell ref="C13:F13"/>
    <mergeCell ref="A11:C11"/>
    <mergeCell ref="A15:B15"/>
    <mergeCell ref="C12:F12"/>
    <mergeCell ref="A13:B13"/>
    <mergeCell ref="A14:B14"/>
    <mergeCell ref="C15:F15"/>
    <mergeCell ref="C14:F14"/>
    <mergeCell ref="A1:K1"/>
    <mergeCell ref="A9:K9"/>
    <mergeCell ref="A12:B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3"/>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52" customWidth="1" min="3" max="3"/>
    <col width="12" customWidth="1" min="4" max="4"/>
    <col width="10" customWidth="1" min="5" max="5"/>
    <col width="10" customWidth="1" min="6" max="6"/>
    <col width="16" customWidth="1" min="7" max="7"/>
    <col width="12" customWidth="1" min="8" max="8"/>
    <col width="10" customWidth="1" min="9" max="9"/>
    <col width="10" customWidth="1" min="10" max="10"/>
    <col width="16" customWidth="1" min="11" max="11"/>
    <col width="12" customWidth="1" min="12" max="12"/>
    <col width="10" customWidth="1" min="13" max="13"/>
    <col width="10" customWidth="1" min="14" max="14"/>
    <col width="16" customWidth="1" min="15" max="15"/>
    <col width="12" customWidth="1" min="16" max="16"/>
    <col width="10" customWidth="1" min="17" max="17"/>
    <col width="10" customWidth="1" min="18" max="18"/>
    <col width="16" customWidth="1" min="19" max="19"/>
  </cols>
  <sheetData>
    <row r="1" ht="26" customHeight="1">
      <c r="A1" s="1" t="inlineStr">
        <is>
          <t>Logic RAG · Iteration 2 — Full Question Log (20 Questions × 4 Configurations)</t>
        </is>
      </c>
    </row>
    <row r="2" ht="22" customHeight="1">
      <c r="A2" s="19" t="inlineStr">
        <is>
          <t>Q ID</t>
        </is>
      </c>
      <c r="B2" s="19" t="inlineStr">
        <is>
          <t>Type</t>
        </is>
      </c>
      <c r="C2" s="19" t="inlineStr">
        <is>
          <t>Question</t>
        </is>
      </c>
      <c r="D2" s="20" t="inlineStr">
        <is>
          <t>Clean · K=3</t>
        </is>
      </c>
      <c r="H2" s="21" t="inlineStr">
        <is>
          <t>Overlap · K=3</t>
        </is>
      </c>
      <c r="L2" s="22" t="inlineStr">
        <is>
          <t>Clean · K=5</t>
        </is>
      </c>
      <c r="P2" s="23" t="inlineStr">
        <is>
          <t>Overlap · K=5</t>
        </is>
      </c>
    </row>
    <row r="3" ht="22" customHeight="1">
      <c r="A3" s="19" t="n"/>
      <c r="B3" s="19" t="n"/>
      <c r="C3" s="19" t="n"/>
      <c r="D3" s="24" t="inlineStr">
        <is>
          <t>Precision@K</t>
        </is>
      </c>
      <c r="E3" s="24" t="inlineStr">
        <is>
          <t>Recall</t>
        </is>
      </c>
      <c r="F3" s="24" t="inlineStr">
        <is>
          <t>ROUGE-L</t>
        </is>
      </c>
      <c r="G3" s="24" t="inlineStr">
        <is>
          <t>Faithfulness</t>
        </is>
      </c>
      <c r="H3" s="25" t="inlineStr">
        <is>
          <t>Precision@K</t>
        </is>
      </c>
      <c r="I3" s="25" t="inlineStr">
        <is>
          <t>Recall</t>
        </is>
      </c>
      <c r="J3" s="25" t="inlineStr">
        <is>
          <t>ROUGE-L</t>
        </is>
      </c>
      <c r="K3" s="25" t="inlineStr">
        <is>
          <t>Faithfulness</t>
        </is>
      </c>
      <c r="L3" s="26" t="inlineStr">
        <is>
          <t>Precision@K</t>
        </is>
      </c>
      <c r="M3" s="26" t="inlineStr">
        <is>
          <t>Recall</t>
        </is>
      </c>
      <c r="N3" s="26" t="inlineStr">
        <is>
          <t>ROUGE-L</t>
        </is>
      </c>
      <c r="O3" s="26" t="inlineStr">
        <is>
          <t>Faithfulness</t>
        </is>
      </c>
      <c r="P3" s="27" t="inlineStr">
        <is>
          <t>Precision@K</t>
        </is>
      </c>
      <c r="Q3" s="27" t="inlineStr">
        <is>
          <t>Recall</t>
        </is>
      </c>
      <c r="R3" s="27" t="inlineStr">
        <is>
          <t>ROUGE-L</t>
        </is>
      </c>
      <c r="S3" s="27" t="inlineStr">
        <is>
          <t>Faithfulness</t>
        </is>
      </c>
    </row>
    <row r="4" ht="32" customHeight="1">
      <c r="A4" s="28" t="n">
        <v>1</v>
      </c>
      <c r="B4" s="28" t="inlineStr">
        <is>
          <t>Unanswerable questions</t>
        </is>
      </c>
      <c r="C4" s="28" t="inlineStr">
        <is>
          <t>What does this text say about the impact of Neural Networks on logical inference?</t>
        </is>
      </c>
      <c r="D4" s="4" t="n">
        <v>0</v>
      </c>
      <c r="E4" s="29" t="inlineStr">
        <is>
          <t>UNANSWERABLE</t>
        </is>
      </c>
      <c r="F4" s="4" t="n"/>
      <c r="G4" s="29" t="inlineStr">
        <is>
          <t>N/A</t>
        </is>
      </c>
      <c r="H4" s="4" t="n">
        <v>0</v>
      </c>
      <c r="I4" s="29" t="inlineStr">
        <is>
          <t>UNANSWERABLE</t>
        </is>
      </c>
      <c r="J4" s="4" t="n"/>
      <c r="K4" s="29" t="inlineStr">
        <is>
          <t>N/A</t>
        </is>
      </c>
      <c r="L4" s="4" t="n">
        <v>0</v>
      </c>
      <c r="M4" s="29" t="inlineStr">
        <is>
          <t>UNANSWERABLE</t>
        </is>
      </c>
      <c r="N4" s="4" t="n"/>
      <c r="O4" s="29" t="inlineStr">
        <is>
          <t>N/A</t>
        </is>
      </c>
      <c r="P4" s="4" t="n">
        <v>0</v>
      </c>
      <c r="Q4" s="29" t="inlineStr">
        <is>
          <t>UNANSWERABLE</t>
        </is>
      </c>
      <c r="R4" s="4" t="n"/>
      <c r="S4" s="29" t="inlineStr">
        <is>
          <t>N/A</t>
        </is>
      </c>
    </row>
    <row r="5" ht="32" customHeight="1">
      <c r="A5" s="30" t="n">
        <v>2</v>
      </c>
      <c r="B5" s="30" t="inlineStr">
        <is>
          <t>Single-passage factual</t>
        </is>
      </c>
      <c r="C5" s="30" t="inlineStr">
        <is>
          <t>What are the three primary 'Laws of Thought' that govern all logical reasoning according to Carveth Read?</t>
        </is>
      </c>
      <c r="D5" s="8" t="n">
        <v>1</v>
      </c>
      <c r="E5" s="5" t="inlineStr">
        <is>
          <t>YES</t>
        </is>
      </c>
      <c r="F5" s="8" t="n">
        <v>0.617</v>
      </c>
      <c r="G5" s="5" t="inlineStr">
        <is>
          <t>1 ✓ Faithful</t>
        </is>
      </c>
      <c r="H5" s="8" t="n">
        <v>1</v>
      </c>
      <c r="I5" s="5" t="inlineStr">
        <is>
          <t>YES</t>
        </is>
      </c>
      <c r="J5" s="8" t="n">
        <v>0.617</v>
      </c>
      <c r="K5" s="5" t="inlineStr">
        <is>
          <t>1 ✓ Faithful</t>
        </is>
      </c>
      <c r="L5" s="8" t="n">
        <v>1</v>
      </c>
      <c r="M5" s="5" t="inlineStr">
        <is>
          <t>YES</t>
        </is>
      </c>
      <c r="N5" s="8" t="n">
        <v>0.306</v>
      </c>
      <c r="O5" s="5" t="inlineStr">
        <is>
          <t>1 ✓ Faithful</t>
        </is>
      </c>
      <c r="P5" s="8" t="n">
        <v>1</v>
      </c>
      <c r="Q5" s="5" t="inlineStr">
        <is>
          <t>YES</t>
        </is>
      </c>
      <c r="R5" s="8" t="n">
        <v>0.652</v>
      </c>
      <c r="S5" s="5" t="inlineStr">
        <is>
          <t>1 ✓ Faithful</t>
        </is>
      </c>
    </row>
    <row r="6" ht="32" customHeight="1">
      <c r="A6" s="28" t="n">
        <v>3</v>
      </c>
      <c r="B6" s="28" t="inlineStr">
        <is>
          <t>Multi-sentence synthesis</t>
        </is>
      </c>
      <c r="C6" s="28" t="inlineStr">
        <is>
          <t>According to the provided texts, what is the relationship between Inductive and Deductive reasoning?</t>
        </is>
      </c>
      <c r="D6" s="4" t="n">
        <v>1</v>
      </c>
      <c r="E6" s="5" t="inlineStr">
        <is>
          <t>YES</t>
        </is>
      </c>
      <c r="F6" s="4" t="n">
        <v>0.197</v>
      </c>
      <c r="G6" s="5" t="inlineStr">
        <is>
          <t>1 ✓ Faithful</t>
        </is>
      </c>
      <c r="H6" s="4" t="n">
        <v>1</v>
      </c>
      <c r="I6" s="5" t="inlineStr">
        <is>
          <t>YES</t>
        </is>
      </c>
      <c r="J6" s="4" t="n">
        <v>0.113</v>
      </c>
      <c r="K6" s="6" t="inlineStr">
        <is>
          <t>0 ✗ Unfaithful</t>
        </is>
      </c>
      <c r="L6" s="4" t="n">
        <v>1</v>
      </c>
      <c r="M6" s="5" t="inlineStr">
        <is>
          <t>YES</t>
        </is>
      </c>
      <c r="N6" s="4" t="n">
        <v>0.124</v>
      </c>
      <c r="O6" s="5" t="inlineStr">
        <is>
          <t>1 ✓ Faithful</t>
        </is>
      </c>
      <c r="P6" s="4" t="n">
        <v>1</v>
      </c>
      <c r="Q6" s="5" t="inlineStr">
        <is>
          <t>YES</t>
        </is>
      </c>
      <c r="R6" s="4" t="n">
        <v>0.117</v>
      </c>
      <c r="S6" s="5" t="inlineStr">
        <is>
          <t>1 ✓ Faithful</t>
        </is>
      </c>
    </row>
    <row r="7" ht="32" customHeight="1">
      <c r="A7" s="30" t="n">
        <v>4</v>
      </c>
      <c r="B7" s="30" t="inlineStr">
        <is>
          <t>Cross-concept questions</t>
        </is>
      </c>
      <c r="C7" s="30" t="inlineStr">
        <is>
          <t>How does Jevons's view of "Substitution of Similars" relate to the "Dictum de omni et nullo" discussed by Mill?</t>
        </is>
      </c>
      <c r="D7" s="8" t="n">
        <v>1</v>
      </c>
      <c r="E7" s="6" t="inlineStr">
        <is>
          <t>NO</t>
        </is>
      </c>
      <c r="F7" s="8" t="n">
        <v>0.038</v>
      </c>
      <c r="G7" s="6" t="inlineStr">
        <is>
          <t>0 ✗ Unfaithful</t>
        </is>
      </c>
      <c r="H7" s="8" t="n">
        <v>1</v>
      </c>
      <c r="I7" s="6" t="inlineStr">
        <is>
          <t>NO</t>
        </is>
      </c>
      <c r="J7" s="8" t="n">
        <v>0.038</v>
      </c>
      <c r="K7" s="5" t="inlineStr">
        <is>
          <t>1 ✓ Faithful</t>
        </is>
      </c>
      <c r="L7" s="8" t="n">
        <v>1</v>
      </c>
      <c r="M7" s="6" t="inlineStr">
        <is>
          <t>NO</t>
        </is>
      </c>
      <c r="N7" s="8" t="n">
        <v>0.038</v>
      </c>
      <c r="O7" s="5" t="inlineStr">
        <is>
          <t>1 ✓ Faithful</t>
        </is>
      </c>
      <c r="P7" s="8" t="n">
        <v>1</v>
      </c>
      <c r="Q7" s="6" t="inlineStr">
        <is>
          <t>NO</t>
        </is>
      </c>
      <c r="R7" s="8" t="n">
        <v>0.038</v>
      </c>
      <c r="S7" s="5" t="inlineStr">
        <is>
          <t>1 ✓ Faithful</t>
        </is>
      </c>
    </row>
    <row r="8" ht="32" customHeight="1">
      <c r="A8" s="28" t="n">
        <v>5</v>
      </c>
      <c r="B8" s="28" t="inlineStr">
        <is>
          <t>Single-passage factual</t>
        </is>
      </c>
      <c r="C8" s="28" t="inlineStr">
        <is>
          <t>What is the 'Law of Simplicity' as defined by Jevons?</t>
        </is>
      </c>
      <c r="D8" s="4" t="n">
        <v>1</v>
      </c>
      <c r="E8" s="5" t="inlineStr">
        <is>
          <t>YES</t>
        </is>
      </c>
      <c r="F8" s="4" t="n">
        <v>0.396</v>
      </c>
      <c r="G8" s="5" t="inlineStr">
        <is>
          <t>1 ✓ Faithful</t>
        </is>
      </c>
      <c r="H8" s="4" t="n">
        <v>1</v>
      </c>
      <c r="I8" s="5" t="inlineStr">
        <is>
          <t>YES</t>
        </is>
      </c>
      <c r="J8" s="4" t="n">
        <v>0.209</v>
      </c>
      <c r="K8" s="5" t="inlineStr">
        <is>
          <t>1 ✓ Faithful</t>
        </is>
      </c>
      <c r="L8" s="4" t="n">
        <v>1</v>
      </c>
      <c r="M8" s="5" t="inlineStr">
        <is>
          <t>YES</t>
        </is>
      </c>
      <c r="N8" s="4" t="n">
        <v>0.424</v>
      </c>
      <c r="O8" s="5" t="inlineStr">
        <is>
          <t>1 ✓ Faithful</t>
        </is>
      </c>
      <c r="P8" s="4" t="n">
        <v>1</v>
      </c>
      <c r="Q8" s="5" t="inlineStr">
        <is>
          <t>YES</t>
        </is>
      </c>
      <c r="R8" s="4" t="n">
        <v>0.373</v>
      </c>
      <c r="S8" s="5" t="inlineStr">
        <is>
          <t>1 ✓ Faithful</t>
        </is>
      </c>
    </row>
    <row r="9" ht="32" customHeight="1">
      <c r="A9" s="30" t="n">
        <v>6</v>
      </c>
      <c r="B9" s="30" t="inlineStr">
        <is>
          <t>Multi-sentence synthesis</t>
        </is>
      </c>
      <c r="C9" s="30" t="inlineStr">
        <is>
          <t>What is the 'Middle Term,' and why is its distribution critical for a valid syllogism?</t>
        </is>
      </c>
      <c r="D9" s="8" t="n">
        <v>1</v>
      </c>
      <c r="E9" s="5" t="inlineStr">
        <is>
          <t>YES</t>
        </is>
      </c>
      <c r="F9" s="8" t="n">
        <v>0.185</v>
      </c>
      <c r="G9" s="5" t="inlineStr">
        <is>
          <t>1 ✓ Faithful</t>
        </is>
      </c>
      <c r="H9" s="8" t="n">
        <v>1</v>
      </c>
      <c r="I9" s="5" t="inlineStr">
        <is>
          <t>YES</t>
        </is>
      </c>
      <c r="J9" s="8" t="n">
        <v>0.197</v>
      </c>
      <c r="K9" s="5" t="inlineStr">
        <is>
          <t>1 ✓ Faithful</t>
        </is>
      </c>
      <c r="L9" s="8" t="n">
        <v>1</v>
      </c>
      <c r="M9" s="5" t="inlineStr">
        <is>
          <t>YES</t>
        </is>
      </c>
      <c r="N9" s="8" t="n">
        <v>0.21</v>
      </c>
      <c r="O9" s="5" t="inlineStr">
        <is>
          <t>1 ✓ Faithful</t>
        </is>
      </c>
      <c r="P9" s="8" t="n">
        <v>1</v>
      </c>
      <c r="Q9" s="5" t="inlineStr">
        <is>
          <t>YES</t>
        </is>
      </c>
      <c r="R9" s="8" t="n">
        <v>0.202</v>
      </c>
      <c r="S9" s="5" t="inlineStr">
        <is>
          <t>1 ✓ Faithful</t>
        </is>
      </c>
    </row>
    <row r="10" ht="32" customHeight="1">
      <c r="A10" s="28" t="n">
        <v>7</v>
      </c>
      <c r="B10" s="28" t="inlineStr">
        <is>
          <t>Unanswerable questions</t>
        </is>
      </c>
      <c r="C10" s="28" t="inlineStr">
        <is>
          <t>What does Kurt Gödel contribute to the understanding of logical completeness in these sources?</t>
        </is>
      </c>
      <c r="D10" s="4" t="n">
        <v>0</v>
      </c>
      <c r="E10" s="29" t="inlineStr">
        <is>
          <t>UNANSWERABLE</t>
        </is>
      </c>
      <c r="F10" s="4" t="n"/>
      <c r="G10" s="29" t="inlineStr">
        <is>
          <t>N/A</t>
        </is>
      </c>
      <c r="H10" s="4" t="n">
        <v>0</v>
      </c>
      <c r="I10" s="29" t="inlineStr">
        <is>
          <t>UNANSWERABLE</t>
        </is>
      </c>
      <c r="J10" s="4" t="n"/>
      <c r="K10" s="29" t="inlineStr">
        <is>
          <t>N/A</t>
        </is>
      </c>
      <c r="L10" s="4" t="n">
        <v>0</v>
      </c>
      <c r="M10" s="29" t="inlineStr">
        <is>
          <t>UNANSWERABLE</t>
        </is>
      </c>
      <c r="N10" s="4" t="n"/>
      <c r="O10" s="29" t="inlineStr">
        <is>
          <t>N/A</t>
        </is>
      </c>
      <c r="P10" s="4" t="n">
        <v>0</v>
      </c>
      <c r="Q10" s="29" t="inlineStr">
        <is>
          <t>UNANSWERABLE</t>
        </is>
      </c>
      <c r="R10" s="4" t="n"/>
      <c r="S10" s="29" t="inlineStr">
        <is>
          <t>N/A</t>
        </is>
      </c>
    </row>
    <row r="11" ht="32" customHeight="1">
      <c r="A11" s="30" t="n">
        <v>8</v>
      </c>
      <c r="B11" s="30" t="inlineStr">
        <is>
          <t>Single-passage factual</t>
        </is>
      </c>
      <c r="C11" s="30" t="inlineStr">
        <is>
          <t>Find this quote in the text: 'A word with two distinct meanings is really two words.' Who said it and what logical fallacy is being discussed?</t>
        </is>
      </c>
      <c r="D11" s="8" t="n">
        <v>1</v>
      </c>
      <c r="E11" s="5" t="inlineStr">
        <is>
          <t>YES</t>
        </is>
      </c>
      <c r="F11" s="8" t="n">
        <v>0.52</v>
      </c>
      <c r="G11" s="5" t="inlineStr">
        <is>
          <t>1 ✓ Faithful</t>
        </is>
      </c>
      <c r="H11" s="8" t="n">
        <v>1</v>
      </c>
      <c r="I11" s="5" t="inlineStr">
        <is>
          <t>YES</t>
        </is>
      </c>
      <c r="J11" s="8" t="n">
        <v>0.396</v>
      </c>
      <c r="K11" s="5" t="inlineStr">
        <is>
          <t>1 ✓ Faithful</t>
        </is>
      </c>
      <c r="L11" s="8" t="n">
        <v>1</v>
      </c>
      <c r="M11" s="5" t="inlineStr">
        <is>
          <t>YES</t>
        </is>
      </c>
      <c r="N11" s="8" t="n">
        <v>0.468</v>
      </c>
      <c r="O11" s="5" t="inlineStr">
        <is>
          <t>1 ✓ Faithful</t>
        </is>
      </c>
      <c r="P11" s="8" t="n">
        <v>1</v>
      </c>
      <c r="Q11" s="5" t="inlineStr">
        <is>
          <t>YES</t>
        </is>
      </c>
      <c r="R11" s="8" t="n">
        <v>0.409</v>
      </c>
      <c r="S11" s="5" t="inlineStr">
        <is>
          <t>1 ✓ Faithful</t>
        </is>
      </c>
    </row>
    <row r="12" ht="32" customHeight="1">
      <c r="A12" s="28" t="n">
        <v>9</v>
      </c>
      <c r="B12" s="28" t="inlineStr">
        <is>
          <t>Multi-sentence synthesis</t>
        </is>
      </c>
      <c r="C12" s="28" t="inlineStr">
        <is>
          <t>How does Mill explain the "Method of Residues" as a modification of the "Method of Difference"?</t>
        </is>
      </c>
      <c r="D12" s="4" t="n">
        <v>1</v>
      </c>
      <c r="E12" s="5" t="inlineStr">
        <is>
          <t>YES</t>
        </is>
      </c>
      <c r="F12" s="4" t="n">
        <v>0.225</v>
      </c>
      <c r="G12" s="5" t="inlineStr">
        <is>
          <t>1 ✓ Faithful</t>
        </is>
      </c>
      <c r="H12" s="4" t="n">
        <v>1</v>
      </c>
      <c r="I12" s="5" t="inlineStr">
        <is>
          <t>YES</t>
        </is>
      </c>
      <c r="J12" s="4" t="n">
        <v>0.231</v>
      </c>
      <c r="K12" s="5" t="inlineStr">
        <is>
          <t>1 ✓ Faithful</t>
        </is>
      </c>
      <c r="L12" s="4" t="n">
        <v>1</v>
      </c>
      <c r="M12" s="5" t="inlineStr">
        <is>
          <t>YES</t>
        </is>
      </c>
      <c r="N12" s="4" t="n">
        <v>0.255</v>
      </c>
      <c r="O12" s="5" t="inlineStr">
        <is>
          <t>1 ✓ Faithful</t>
        </is>
      </c>
      <c r="P12" s="4" t="n">
        <v>1</v>
      </c>
      <c r="Q12" s="5" t="inlineStr">
        <is>
          <t>YES</t>
        </is>
      </c>
      <c r="R12" s="4" t="n">
        <v>0.202</v>
      </c>
      <c r="S12" s="5" t="inlineStr">
        <is>
          <t>1 ✓ Faithful</t>
        </is>
      </c>
    </row>
    <row r="13" ht="32" customHeight="1">
      <c r="A13" s="30" t="n">
        <v>10</v>
      </c>
      <c r="B13" s="30" t="inlineStr">
        <is>
          <t>Cross-concept questions</t>
        </is>
      </c>
      <c r="C13" s="30" t="inlineStr">
        <is>
          <t>How does the psychological view of "Judgment" in William James differ from the logical view of "Proposition" in Carveth Read?</t>
        </is>
      </c>
      <c r="D13" s="8" t="n">
        <v>1</v>
      </c>
      <c r="E13" s="6" t="inlineStr">
        <is>
          <t>NO</t>
        </is>
      </c>
      <c r="F13" s="8" t="n">
        <v>0.047</v>
      </c>
      <c r="G13" s="5" t="inlineStr">
        <is>
          <t>1 ✓ Faithful</t>
        </is>
      </c>
      <c r="H13" s="8" t="n">
        <v>0</v>
      </c>
      <c r="I13" s="6" t="inlineStr">
        <is>
          <t>NO</t>
        </is>
      </c>
      <c r="J13" s="8" t="n">
        <v>0.047</v>
      </c>
      <c r="K13" s="5" t="inlineStr">
        <is>
          <t>1 ✓ Faithful</t>
        </is>
      </c>
      <c r="L13" s="8" t="n">
        <v>0.2</v>
      </c>
      <c r="M13" s="6" t="inlineStr">
        <is>
          <t>NO</t>
        </is>
      </c>
      <c r="N13" s="8" t="n">
        <v>0.047</v>
      </c>
      <c r="O13" s="5" t="inlineStr">
        <is>
          <t>1 ✓ Faithful</t>
        </is>
      </c>
      <c r="P13" s="8" t="n">
        <v>0</v>
      </c>
      <c r="Q13" s="6" t="inlineStr">
        <is>
          <t>NO</t>
        </is>
      </c>
      <c r="R13" s="8" t="n">
        <v>0.047</v>
      </c>
      <c r="S13" s="6" t="inlineStr">
        <is>
          <t>0 ✗ Unfaithful</t>
        </is>
      </c>
    </row>
    <row r="14" ht="32" customHeight="1">
      <c r="A14" s="28" t="n">
        <v>11</v>
      </c>
      <c r="B14" s="28" t="inlineStr">
        <is>
          <t>Single-passage factual</t>
        </is>
      </c>
      <c r="C14" s="28" t="inlineStr">
        <is>
          <t>What is a "Substantial Term" according to Jevons?</t>
        </is>
      </c>
      <c r="D14" s="4" t="n">
        <v>1</v>
      </c>
      <c r="E14" s="5" t="inlineStr">
        <is>
          <t>YES</t>
        </is>
      </c>
      <c r="F14" s="4" t="n">
        <v>0.24</v>
      </c>
      <c r="G14" s="5" t="inlineStr">
        <is>
          <t>1 ✓ Faithful</t>
        </is>
      </c>
      <c r="H14" s="4" t="n">
        <v>1</v>
      </c>
      <c r="I14" s="5" t="inlineStr">
        <is>
          <t>YES</t>
        </is>
      </c>
      <c r="J14" s="4" t="n">
        <v>0.245</v>
      </c>
      <c r="K14" s="5" t="inlineStr">
        <is>
          <t>1 ✓ Faithful</t>
        </is>
      </c>
      <c r="L14" s="4" t="n">
        <v>1</v>
      </c>
      <c r="M14" s="5" t="inlineStr">
        <is>
          <t>YES</t>
        </is>
      </c>
      <c r="N14" s="4" t="n">
        <v>0.261</v>
      </c>
      <c r="O14" s="5" t="inlineStr">
        <is>
          <t>1 ✓ Faithful</t>
        </is>
      </c>
      <c r="P14" s="4" t="n">
        <v>1</v>
      </c>
      <c r="Q14" s="5" t="inlineStr">
        <is>
          <t>YES</t>
        </is>
      </c>
      <c r="R14" s="4" t="n">
        <v>0.162</v>
      </c>
      <c r="S14" s="5" t="inlineStr">
        <is>
          <t>1 ✓ Faithful</t>
        </is>
      </c>
    </row>
    <row r="15" ht="32" customHeight="1">
      <c r="A15" s="30" t="n">
        <v>12</v>
      </c>
      <c r="B15" s="30" t="inlineStr">
        <is>
          <t>Multi-sentence synthesis</t>
        </is>
      </c>
      <c r="C15" s="30" t="inlineStr">
        <is>
          <t>Compare how 'Materialist' logicians define a proposition versus the 'Conceptualist' perspective.</t>
        </is>
      </c>
      <c r="D15" s="8" t="n">
        <v>1</v>
      </c>
      <c r="E15" s="5" t="inlineStr">
        <is>
          <t>YES</t>
        </is>
      </c>
      <c r="F15" s="8" t="n">
        <v>0.322</v>
      </c>
      <c r="G15" s="5" t="inlineStr">
        <is>
          <t>1 ✓ Faithful</t>
        </is>
      </c>
      <c r="H15" s="8" t="n">
        <v>1</v>
      </c>
      <c r="I15" s="5" t="inlineStr">
        <is>
          <t>YES</t>
        </is>
      </c>
      <c r="J15" s="8" t="n">
        <v>0.316</v>
      </c>
      <c r="K15" s="5" t="inlineStr">
        <is>
          <t>1 ✓ Faithful</t>
        </is>
      </c>
      <c r="L15" s="8" t="n">
        <v>1</v>
      </c>
      <c r="M15" s="5" t="inlineStr">
        <is>
          <t>YES</t>
        </is>
      </c>
      <c r="N15" s="8" t="n">
        <v>0.335</v>
      </c>
      <c r="O15" s="5" t="inlineStr">
        <is>
          <t>1 ✓ Faithful</t>
        </is>
      </c>
      <c r="P15" s="8" t="n">
        <v>1</v>
      </c>
      <c r="Q15" s="5" t="inlineStr">
        <is>
          <t>YES</t>
        </is>
      </c>
      <c r="R15" s="8" t="n">
        <v>0.279</v>
      </c>
      <c r="S15" s="5" t="inlineStr">
        <is>
          <t>1 ✓ Faithful</t>
        </is>
      </c>
    </row>
    <row r="16" ht="32" customHeight="1">
      <c r="A16" s="28" t="n">
        <v>13</v>
      </c>
      <c r="B16" s="28" t="inlineStr">
        <is>
          <t>Unanswerable questions</t>
        </is>
      </c>
      <c r="C16" s="28" t="inlineStr">
        <is>
          <t>What does the text conclude about the influence of 21st-century digital logic on Mill's theories?</t>
        </is>
      </c>
      <c r="D16" s="4" t="n">
        <v>0</v>
      </c>
      <c r="E16" s="29" t="inlineStr">
        <is>
          <t>UNANSWERABLE</t>
        </is>
      </c>
      <c r="F16" s="4" t="n"/>
      <c r="G16" s="29" t="inlineStr">
        <is>
          <t>N/A</t>
        </is>
      </c>
      <c r="H16" s="4" t="n">
        <v>0</v>
      </c>
      <c r="I16" s="29" t="inlineStr">
        <is>
          <t>UNANSWERABLE</t>
        </is>
      </c>
      <c r="J16" s="4" t="n"/>
      <c r="K16" s="29" t="inlineStr">
        <is>
          <t>N/A</t>
        </is>
      </c>
      <c r="L16" s="4" t="n">
        <v>0</v>
      </c>
      <c r="M16" s="29" t="inlineStr">
        <is>
          <t>UNANSWERABLE</t>
        </is>
      </c>
      <c r="N16" s="4" t="n"/>
      <c r="O16" s="29" t="inlineStr">
        <is>
          <t>N/A</t>
        </is>
      </c>
      <c r="P16" s="4" t="n">
        <v>0</v>
      </c>
      <c r="Q16" s="29" t="inlineStr">
        <is>
          <t>UNANSWERABLE</t>
        </is>
      </c>
      <c r="R16" s="4" t="n"/>
      <c r="S16" s="29" t="inlineStr">
        <is>
          <t>N/A</t>
        </is>
      </c>
    </row>
    <row r="17" ht="32" customHeight="1">
      <c r="A17" s="30" t="n">
        <v>14</v>
      </c>
      <c r="B17" s="30" t="inlineStr">
        <is>
          <t>Single-passage factual</t>
        </is>
      </c>
      <c r="C17" s="30" t="inlineStr">
        <is>
          <t>What are the four general stages of the process of reasoning according to William Walker Atkinson?</t>
        </is>
      </c>
      <c r="D17" s="8" t="n">
        <v>1</v>
      </c>
      <c r="E17" s="6" t="inlineStr">
        <is>
          <t>NO</t>
        </is>
      </c>
      <c r="F17" s="8" t="n">
        <v>0.456</v>
      </c>
      <c r="G17" s="5" t="inlineStr">
        <is>
          <t>1 ✓ Faithful</t>
        </is>
      </c>
      <c r="H17" s="8" t="n">
        <v>1</v>
      </c>
      <c r="I17" s="5" t="inlineStr">
        <is>
          <t>YES</t>
        </is>
      </c>
      <c r="J17" s="8" t="n">
        <v>0.36</v>
      </c>
      <c r="K17" s="6" t="inlineStr">
        <is>
          <t>0 ✗ Unfaithful</t>
        </is>
      </c>
      <c r="L17" s="8" t="n">
        <v>1</v>
      </c>
      <c r="M17" s="6" t="inlineStr">
        <is>
          <t>NO</t>
        </is>
      </c>
      <c r="N17" s="8" t="n">
        <v>0.263</v>
      </c>
      <c r="O17" s="6" t="inlineStr">
        <is>
          <t>0 ✗ Unfaithful</t>
        </is>
      </c>
      <c r="P17" s="8" t="n">
        <v>1</v>
      </c>
      <c r="Q17" s="6" t="inlineStr">
        <is>
          <t>NO</t>
        </is>
      </c>
      <c r="R17" s="8" t="n">
        <v>0.222</v>
      </c>
      <c r="S17" s="5" t="inlineStr">
        <is>
          <t>1 ✓ Faithful</t>
        </is>
      </c>
    </row>
    <row r="18" ht="32" customHeight="1">
      <c r="A18" s="28" t="n">
        <v>15</v>
      </c>
      <c r="B18" s="28" t="inlineStr">
        <is>
          <t>Multi-sentence synthesis</t>
        </is>
      </c>
      <c r="C18" s="28" t="inlineStr">
        <is>
          <t>Describe the three parts of a categorical syllogism and how they relate to the premises to reach a conclusion.</t>
        </is>
      </c>
      <c r="D18" s="4" t="n">
        <v>1</v>
      </c>
      <c r="E18" s="5" t="inlineStr">
        <is>
          <t>YES</t>
        </is>
      </c>
      <c r="F18" s="4" t="n">
        <v>0.336</v>
      </c>
      <c r="G18" s="5" t="inlineStr">
        <is>
          <t>1 ✓ Faithful</t>
        </is>
      </c>
      <c r="H18" s="4" t="n">
        <v>1</v>
      </c>
      <c r="I18" s="5" t="inlineStr">
        <is>
          <t>YES</t>
        </is>
      </c>
      <c r="J18" s="4" t="n">
        <v>0.338</v>
      </c>
      <c r="K18" s="5" t="inlineStr">
        <is>
          <t>1 ✓ Faithful</t>
        </is>
      </c>
      <c r="L18" s="4" t="n">
        <v>1</v>
      </c>
      <c r="M18" s="5" t="inlineStr">
        <is>
          <t>YES</t>
        </is>
      </c>
      <c r="N18" s="4" t="n">
        <v>0.4</v>
      </c>
      <c r="O18" s="5" t="inlineStr">
        <is>
          <t>1 ✓ Faithful</t>
        </is>
      </c>
      <c r="P18" s="4" t="n">
        <v>1</v>
      </c>
      <c r="Q18" s="5" t="inlineStr">
        <is>
          <t>YES</t>
        </is>
      </c>
      <c r="R18" s="4" t="n">
        <v>0.37</v>
      </c>
      <c r="S18" s="5" t="inlineStr">
        <is>
          <t>1 ✓ Faithful</t>
        </is>
      </c>
    </row>
    <row r="19" ht="32" customHeight="1">
      <c r="A19" s="30" t="n">
        <v>16</v>
      </c>
      <c r="B19" s="30" t="inlineStr">
        <is>
          <t>Cross-concept questions</t>
        </is>
      </c>
      <c r="C19" s="30" t="inlineStr">
        <is>
          <t>How does Mill’s definition of 'Body' compare with the psychological 'stream of consciousness' mentioned by James?</t>
        </is>
      </c>
      <c r="D19" s="8" t="n">
        <v>0</v>
      </c>
      <c r="E19" s="6" t="inlineStr">
        <is>
          <t>NO</t>
        </is>
      </c>
      <c r="F19" s="8" t="n">
        <v>0.109</v>
      </c>
      <c r="G19" s="5" t="inlineStr">
        <is>
          <t>1 ✓ Faithful</t>
        </is>
      </c>
      <c r="H19" s="8" t="n">
        <v>1</v>
      </c>
      <c r="I19" s="6" t="inlineStr">
        <is>
          <t>NO</t>
        </is>
      </c>
      <c r="J19" s="8" t="n">
        <v>0.181</v>
      </c>
      <c r="K19" s="5" t="inlineStr">
        <is>
          <t>1 ✓ Faithful</t>
        </is>
      </c>
      <c r="L19" s="8" t="n">
        <v>0</v>
      </c>
      <c r="M19" s="6" t="inlineStr">
        <is>
          <t>NO</t>
        </is>
      </c>
      <c r="N19" s="8" t="n">
        <v>0.048</v>
      </c>
      <c r="O19" s="5" t="inlineStr">
        <is>
          <t>1 ✓ Faithful</t>
        </is>
      </c>
      <c r="P19" s="8" t="n">
        <v>0.8</v>
      </c>
      <c r="Q19" s="6" t="inlineStr">
        <is>
          <t>NO</t>
        </is>
      </c>
      <c r="R19" s="8" t="n">
        <v>0.048</v>
      </c>
      <c r="S19" s="5" t="inlineStr">
        <is>
          <t>1 ✓ Faithful</t>
        </is>
      </c>
    </row>
    <row r="20" ht="32" customHeight="1">
      <c r="A20" s="28" t="n">
        <v>17</v>
      </c>
      <c r="B20" s="28" t="inlineStr">
        <is>
          <t>Single-passage factual</t>
        </is>
      </c>
      <c r="C20" s="28" t="inlineStr">
        <is>
          <t>How does Carveth Read define a "Proposition"?</t>
        </is>
      </c>
      <c r="D20" s="4" t="n">
        <v>0</v>
      </c>
      <c r="E20" s="6" t="inlineStr">
        <is>
          <t>NO</t>
        </is>
      </c>
      <c r="F20" s="4" t="n">
        <v>0.125</v>
      </c>
      <c r="G20" s="5" t="inlineStr">
        <is>
          <t>1 ✓ Faithful</t>
        </is>
      </c>
      <c r="H20" s="4" t="n">
        <v>1</v>
      </c>
      <c r="I20" s="5" t="inlineStr">
        <is>
          <t>YES</t>
        </is>
      </c>
      <c r="J20" s="4" t="n">
        <v>0.27</v>
      </c>
      <c r="K20" s="5" t="inlineStr">
        <is>
          <t>1 ✓ Faithful</t>
        </is>
      </c>
      <c r="L20" s="4" t="n">
        <v>1</v>
      </c>
      <c r="M20" s="5" t="inlineStr">
        <is>
          <t>YES</t>
        </is>
      </c>
      <c r="N20" s="4" t="n">
        <v>0.257</v>
      </c>
      <c r="O20" s="6" t="inlineStr">
        <is>
          <t>0 ✗ Unfaithful</t>
        </is>
      </c>
      <c r="P20" s="4" t="n">
        <v>1</v>
      </c>
      <c r="Q20" s="5" t="inlineStr">
        <is>
          <t>YES</t>
        </is>
      </c>
      <c r="R20" s="4" t="n">
        <v>0.237</v>
      </c>
      <c r="S20" s="5" t="inlineStr">
        <is>
          <t>1 ✓ Faithful</t>
        </is>
      </c>
    </row>
    <row r="21" ht="32" customHeight="1">
      <c r="A21" s="30" t="n">
        <v>18</v>
      </c>
      <c r="B21" s="30" t="inlineStr">
        <is>
          <t>Multi-sentence synthesis</t>
        </is>
      </c>
      <c r="C21" s="30" t="inlineStr">
        <is>
          <t>What are the formal rules and axioms of the categorical syllogism regarding premises and terms?</t>
        </is>
      </c>
      <c r="D21" s="8" t="n">
        <v>1</v>
      </c>
      <c r="E21" s="6" t="inlineStr">
        <is>
          <t>NO</t>
        </is>
      </c>
      <c r="F21" s="8" t="n">
        <v>0.153</v>
      </c>
      <c r="G21" s="5" t="inlineStr">
        <is>
          <t>1 ✓ Faithful</t>
        </is>
      </c>
      <c r="H21" s="8" t="n">
        <v>1</v>
      </c>
      <c r="I21" s="5" t="inlineStr">
        <is>
          <t>YES</t>
        </is>
      </c>
      <c r="J21" s="8" t="n">
        <v>0.315</v>
      </c>
      <c r="K21" s="5" t="inlineStr">
        <is>
          <t>1 ✓ Faithful</t>
        </is>
      </c>
      <c r="L21" s="8" t="n">
        <v>1</v>
      </c>
      <c r="M21" s="6" t="inlineStr">
        <is>
          <t>NO</t>
        </is>
      </c>
      <c r="N21" s="8" t="n">
        <v>0.043</v>
      </c>
      <c r="O21" s="5" t="inlineStr">
        <is>
          <t>1 ✓ Faithful</t>
        </is>
      </c>
      <c r="P21" s="8" t="n">
        <v>1</v>
      </c>
      <c r="Q21" s="5" t="inlineStr">
        <is>
          <t>YES</t>
        </is>
      </c>
      <c r="R21" s="8" t="n">
        <v>0.321</v>
      </c>
      <c r="S21" s="5" t="inlineStr">
        <is>
          <t>1 ✓ Faithful</t>
        </is>
      </c>
    </row>
    <row r="22" ht="32" customHeight="1">
      <c r="A22" s="28" t="n">
        <v>19</v>
      </c>
      <c r="B22" s="28" t="inlineStr">
        <is>
          <t>Single-passage factual</t>
        </is>
      </c>
      <c r="C22" s="28" t="inlineStr">
        <is>
          <t>According to Mill, what is the 'fundamentum relationis'?</t>
        </is>
      </c>
      <c r="D22" s="4" t="n">
        <v>1</v>
      </c>
      <c r="E22" s="5" t="inlineStr">
        <is>
          <t>YES</t>
        </is>
      </c>
      <c r="F22" s="4" t="n">
        <v>0.18</v>
      </c>
      <c r="G22" s="5" t="inlineStr">
        <is>
          <t>1 ✓ Faithful</t>
        </is>
      </c>
      <c r="H22" s="4" t="n">
        <v>1</v>
      </c>
      <c r="I22" s="5" t="inlineStr">
        <is>
          <t>YES</t>
        </is>
      </c>
      <c r="J22" s="4" t="n">
        <v>0.267</v>
      </c>
      <c r="K22" s="5" t="inlineStr">
        <is>
          <t>1 ✓ Faithful</t>
        </is>
      </c>
      <c r="L22" s="4" t="n">
        <v>1</v>
      </c>
      <c r="M22" s="5" t="inlineStr">
        <is>
          <t>YES</t>
        </is>
      </c>
      <c r="N22" s="4" t="n">
        <v>0.269</v>
      </c>
      <c r="O22" s="5" t="inlineStr">
        <is>
          <t>1 ✓ Faithful</t>
        </is>
      </c>
      <c r="P22" s="4" t="n">
        <v>1</v>
      </c>
      <c r="Q22" s="5" t="inlineStr">
        <is>
          <t>YES</t>
        </is>
      </c>
      <c r="R22" s="4" t="n">
        <v>0.231</v>
      </c>
      <c r="S22" s="5" t="inlineStr">
        <is>
          <t>1 ✓ Faithful</t>
        </is>
      </c>
    </row>
    <row r="23" ht="32" customHeight="1">
      <c r="A23" s="30" t="n">
        <v>20</v>
      </c>
      <c r="B23" s="30" t="inlineStr">
        <is>
          <t>Multi-sentence synthesis</t>
        </is>
      </c>
      <c r="C23" s="30" t="inlineStr">
        <is>
          <t>Explain the "Inverse form" of a proposition as discussed by Carveth Read.</t>
        </is>
      </c>
      <c r="D23" s="8" t="n">
        <v>1</v>
      </c>
      <c r="E23" s="5" t="inlineStr">
        <is>
          <t>YES</t>
        </is>
      </c>
      <c r="F23" s="8" t="n">
        <v>0.314</v>
      </c>
      <c r="G23" s="5" t="inlineStr">
        <is>
          <t>1 ✓ Faithful</t>
        </is>
      </c>
      <c r="H23" s="8" t="n">
        <v>1</v>
      </c>
      <c r="I23" s="5" t="inlineStr">
        <is>
          <t>YES</t>
        </is>
      </c>
      <c r="J23" s="8" t="n">
        <v>0.239</v>
      </c>
      <c r="K23" s="5" t="inlineStr">
        <is>
          <t>1 ✓ Faithful</t>
        </is>
      </c>
      <c r="L23" s="8" t="n">
        <v>1</v>
      </c>
      <c r="M23" s="6" t="inlineStr">
        <is>
          <t>NO</t>
        </is>
      </c>
      <c r="N23" s="8" t="n">
        <v>0.254</v>
      </c>
      <c r="O23" s="5" t="inlineStr">
        <is>
          <t>1 ✓ Faithful</t>
        </is>
      </c>
      <c r="P23" s="8" t="n">
        <v>1</v>
      </c>
      <c r="Q23" s="6" t="inlineStr">
        <is>
          <t>NO</t>
        </is>
      </c>
      <c r="R23" s="8" t="n">
        <v>0.25</v>
      </c>
      <c r="S23" s="5" t="inlineStr">
        <is>
          <t>1 ✓ Faithful</t>
        </is>
      </c>
    </row>
  </sheetData>
  <mergeCells count="5">
    <mergeCell ref="A1:U1"/>
    <mergeCell ref="H2:K2"/>
    <mergeCell ref="L2:O2"/>
    <mergeCell ref="D2:G2"/>
    <mergeCell ref="P2:S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6"/>
  <sheetViews>
    <sheetView workbookViewId="0">
      <pane ySplit="2" topLeftCell="A3" activePane="bottomLeft" state="frozen"/>
      <selection pane="bottomLeft" activeCell="A1" sqref="A1"/>
    </sheetView>
  </sheetViews>
  <sheetFormatPr baseColWidth="8" defaultRowHeight="15"/>
  <cols>
    <col width="28" customWidth="1" min="1" max="1"/>
    <col width="7" customWidth="1" min="2" max="2"/>
    <col width="13" customWidth="1" min="3" max="3"/>
    <col width="13" customWidth="1" min="4" max="4"/>
    <col width="11" customWidth="1" min="5" max="5"/>
    <col width="13" customWidth="1" min="6" max="6"/>
    <col width="13" customWidth="1" min="7" max="7"/>
    <col width="11" customWidth="1" min="8" max="8"/>
    <col width="13" customWidth="1" min="9" max="9"/>
    <col width="13" customWidth="1" min="10" max="10"/>
    <col width="11" customWidth="1" min="11" max="11"/>
    <col width="13" customWidth="1" min="12" max="12"/>
    <col width="13" customWidth="1" min="13" max="13"/>
    <col width="11"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s>
  <sheetData>
    <row r="1" ht="26" customHeight="1">
      <c r="A1" s="1" t="inlineStr">
        <is>
          <t>Logic RAG · Iteration 2 — Faithfulness by Question Type</t>
        </is>
      </c>
    </row>
    <row r="2" ht="36" customHeight="1">
      <c r="A2" s="2" t="inlineStr">
        <is>
          <t>Question Type</t>
        </is>
      </c>
      <c r="B2" s="2" t="inlineStr">
        <is>
          <t>Count</t>
        </is>
      </c>
      <c r="C2" s="2" t="inlineStr">
        <is>
          <t>Faith
CK3</t>
        </is>
      </c>
      <c r="D2" s="2" t="inlineStr">
        <is>
          <t>Unfaith
CK3</t>
        </is>
      </c>
      <c r="E2" s="2" t="inlineStr">
        <is>
          <t>Uncl
CK3</t>
        </is>
      </c>
      <c r="F2" s="2" t="inlineStr">
        <is>
          <t>Faith
OK3</t>
        </is>
      </c>
      <c r="G2" s="2" t="inlineStr">
        <is>
          <t>Unfaith
OK3</t>
        </is>
      </c>
      <c r="H2" s="2" t="inlineStr">
        <is>
          <t>Uncl
OK3</t>
        </is>
      </c>
      <c r="I2" s="2" t="inlineStr">
        <is>
          <t>Faith
CK5</t>
        </is>
      </c>
      <c r="J2" s="2" t="inlineStr">
        <is>
          <t>Unfaith
CK5</t>
        </is>
      </c>
      <c r="K2" s="2" t="inlineStr">
        <is>
          <t>Uncl
CK5</t>
        </is>
      </c>
      <c r="L2" s="2" t="inlineStr">
        <is>
          <t>Faith
OK5</t>
        </is>
      </c>
      <c r="M2" s="2" t="inlineStr">
        <is>
          <t>Unfaith
OK5</t>
        </is>
      </c>
      <c r="N2" s="2" t="inlineStr">
        <is>
          <t>Uncl
OK5</t>
        </is>
      </c>
      <c r="O2" s="2" t="inlineStr">
        <is>
          <t>Avg Prec
CK3</t>
        </is>
      </c>
      <c r="P2" s="2" t="inlineStr">
        <is>
          <t>Avg Prec
OK3</t>
        </is>
      </c>
      <c r="Q2" s="2" t="inlineStr">
        <is>
          <t>Avg Prec
CK5</t>
        </is>
      </c>
      <c r="R2" s="2" t="inlineStr">
        <is>
          <t>Avg Prec
OK5</t>
        </is>
      </c>
      <c r="S2" s="2" t="inlineStr">
        <is>
          <t>Avg ROUGE
CK3</t>
        </is>
      </c>
      <c r="T2" s="2" t="inlineStr">
        <is>
          <t>Avg ROUGE
OK3</t>
        </is>
      </c>
      <c r="U2" s="2" t="inlineStr">
        <is>
          <t>Avg ROUGE
CK5</t>
        </is>
      </c>
      <c r="V2" s="2" t="inlineStr">
        <is>
          <t>Avg ROUGE
OK5</t>
        </is>
      </c>
    </row>
    <row r="3" ht="18" customHeight="1">
      <c r="A3" s="3" t="inlineStr">
        <is>
          <t>Unanswerable questions</t>
        </is>
      </c>
      <c r="B3" s="4" t="n">
        <v>3</v>
      </c>
      <c r="C3" s="4" t="n">
        <v>0</v>
      </c>
      <c r="D3" s="4" t="n">
        <v>0</v>
      </c>
      <c r="E3" s="4" t="n">
        <v>0</v>
      </c>
      <c r="F3" s="4" t="n">
        <v>0</v>
      </c>
      <c r="G3" s="4" t="n">
        <v>0</v>
      </c>
      <c r="H3" s="4" t="n">
        <v>0</v>
      </c>
      <c r="I3" s="4" t="n">
        <v>0</v>
      </c>
      <c r="J3" s="4" t="n">
        <v>0</v>
      </c>
      <c r="K3" s="4" t="n">
        <v>0</v>
      </c>
      <c r="L3" s="4" t="n">
        <v>0</v>
      </c>
      <c r="M3" s="4" t="n">
        <v>0</v>
      </c>
      <c r="N3" s="4" t="n">
        <v>0</v>
      </c>
      <c r="O3" s="4" t="n">
        <v>0</v>
      </c>
      <c r="P3" s="4" t="n">
        <v>0</v>
      </c>
      <c r="Q3" s="4" t="n">
        <v>0</v>
      </c>
      <c r="R3" s="4" t="n">
        <v>0</v>
      </c>
      <c r="S3" s="4" t="inlineStr"/>
      <c r="T3" s="4" t="inlineStr"/>
      <c r="U3" s="4" t="inlineStr"/>
      <c r="V3" s="4" t="inlineStr"/>
    </row>
    <row r="4" ht="18" customHeight="1">
      <c r="A4" s="7" t="inlineStr">
        <is>
          <t>Single-passage factual</t>
        </is>
      </c>
      <c r="B4" s="8" t="n">
        <v>7</v>
      </c>
      <c r="C4" s="5" t="n">
        <v>7</v>
      </c>
      <c r="D4" s="8" t="n">
        <v>0</v>
      </c>
      <c r="E4" s="8" t="n">
        <v>0</v>
      </c>
      <c r="F4" s="5" t="n">
        <v>6</v>
      </c>
      <c r="G4" s="6" t="n">
        <v>1</v>
      </c>
      <c r="H4" s="8" t="n">
        <v>0</v>
      </c>
      <c r="I4" s="5" t="n">
        <v>5</v>
      </c>
      <c r="J4" s="6" t="n">
        <v>2</v>
      </c>
      <c r="K4" s="8" t="n">
        <v>0</v>
      </c>
      <c r="L4" s="5" t="n">
        <v>7</v>
      </c>
      <c r="M4" s="8" t="n">
        <v>0</v>
      </c>
      <c r="N4" s="8" t="n">
        <v>0</v>
      </c>
      <c r="O4" s="8" t="n">
        <v>0.857</v>
      </c>
      <c r="P4" s="8" t="n">
        <v>1</v>
      </c>
      <c r="Q4" s="8" t="n">
        <v>1</v>
      </c>
      <c r="R4" s="8" t="n">
        <v>1</v>
      </c>
      <c r="S4" s="8" t="n">
        <v>0.362</v>
      </c>
      <c r="T4" s="8" t="n">
        <v>0.338</v>
      </c>
      <c r="U4" s="8" t="n">
        <v>0.321</v>
      </c>
      <c r="V4" s="8" t="n">
        <v>0.327</v>
      </c>
    </row>
    <row r="5" ht="18" customHeight="1">
      <c r="A5" s="3" t="inlineStr">
        <is>
          <t>Multi-sentence synthesis</t>
        </is>
      </c>
      <c r="B5" s="4" t="n">
        <v>7</v>
      </c>
      <c r="C5" s="5" t="n">
        <v>7</v>
      </c>
      <c r="D5" s="4" t="n">
        <v>0</v>
      </c>
      <c r="E5" s="4" t="n">
        <v>0</v>
      </c>
      <c r="F5" s="5" t="n">
        <v>6</v>
      </c>
      <c r="G5" s="6" t="n">
        <v>1</v>
      </c>
      <c r="H5" s="4" t="n">
        <v>0</v>
      </c>
      <c r="I5" s="5" t="n">
        <v>7</v>
      </c>
      <c r="J5" s="4" t="n">
        <v>0</v>
      </c>
      <c r="K5" s="4" t="n">
        <v>0</v>
      </c>
      <c r="L5" s="5" t="n">
        <v>7</v>
      </c>
      <c r="M5" s="4" t="n">
        <v>0</v>
      </c>
      <c r="N5" s="4" t="n">
        <v>0</v>
      </c>
      <c r="O5" s="4" t="n">
        <v>1</v>
      </c>
      <c r="P5" s="4" t="n">
        <v>1</v>
      </c>
      <c r="Q5" s="4" t="n">
        <v>1</v>
      </c>
      <c r="R5" s="4" t="n">
        <v>1</v>
      </c>
      <c r="S5" s="4" t="n">
        <v>0.248</v>
      </c>
      <c r="T5" s="4" t="n">
        <v>0.25</v>
      </c>
      <c r="U5" s="4" t="n">
        <v>0.231</v>
      </c>
      <c r="V5" s="4" t="n">
        <v>0.249</v>
      </c>
    </row>
    <row r="6" ht="18" customHeight="1">
      <c r="A6" s="7" t="inlineStr">
        <is>
          <t>Cross-concept questions</t>
        </is>
      </c>
      <c r="B6" s="8" t="n">
        <v>3</v>
      </c>
      <c r="C6" s="5" t="n">
        <v>2</v>
      </c>
      <c r="D6" s="6" t="n">
        <v>1</v>
      </c>
      <c r="E6" s="8" t="n">
        <v>0</v>
      </c>
      <c r="F6" s="5" t="n">
        <v>3</v>
      </c>
      <c r="G6" s="8" t="n">
        <v>0</v>
      </c>
      <c r="H6" s="8" t="n">
        <v>0</v>
      </c>
      <c r="I6" s="5" t="n">
        <v>3</v>
      </c>
      <c r="J6" s="8" t="n">
        <v>0</v>
      </c>
      <c r="K6" s="8" t="n">
        <v>0</v>
      </c>
      <c r="L6" s="5" t="n">
        <v>2</v>
      </c>
      <c r="M6" s="6" t="n">
        <v>1</v>
      </c>
      <c r="N6" s="8" t="n">
        <v>0</v>
      </c>
      <c r="O6" s="8" t="n">
        <v>0.667</v>
      </c>
      <c r="P6" s="8" t="n">
        <v>0.667</v>
      </c>
      <c r="Q6" s="8" t="n">
        <v>0.4</v>
      </c>
      <c r="R6" s="8" t="n">
        <v>0.6</v>
      </c>
      <c r="S6" s="8" t="n">
        <v>0.065</v>
      </c>
      <c r="T6" s="8" t="n">
        <v>0.08799999999999999</v>
      </c>
      <c r="U6" s="8" t="n">
        <v>0.044</v>
      </c>
      <c r="V6" s="8" t="n">
        <v>0.044</v>
      </c>
    </row>
  </sheetData>
  <mergeCells count="1">
    <mergeCell ref="A1:R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6" customWidth="1" min="1" max="1"/>
    <col width="20" customWidth="1" min="2" max="2"/>
    <col width="48" customWidth="1" min="3" max="3"/>
    <col width="16" customWidth="1" min="4" max="4"/>
    <col width="16" customWidth="1" min="5" max="5"/>
    <col width="16" customWidth="1" min="6" max="6"/>
    <col width="16" customWidth="1" min="7" max="7"/>
    <col width="40" customWidth="1" min="8" max="8"/>
  </cols>
  <sheetData>
    <row r="1" ht="26" customHeight="1">
      <c r="A1" s="1" t="inlineStr">
        <is>
          <t>Logic RAG · Iteration 2 — Unfaithful &amp; Contested Cases (Verdict = 0)</t>
        </is>
      </c>
    </row>
    <row r="2" ht="32" customHeight="1">
      <c r="A2" s="2" t="inlineStr">
        <is>
          <t>Q ID</t>
        </is>
      </c>
      <c r="B2" s="2" t="inlineStr">
        <is>
          <t>Type</t>
        </is>
      </c>
      <c r="C2" s="2" t="inlineStr">
        <is>
          <t>Question</t>
        </is>
      </c>
      <c r="D2" s="2" t="inlineStr">
        <is>
          <t>Verdict
CK3</t>
        </is>
      </c>
      <c r="E2" s="2" t="inlineStr">
        <is>
          <t>Verdict
OK3</t>
        </is>
      </c>
      <c r="F2" s="2" t="inlineStr">
        <is>
          <t>Verdict
CK5</t>
        </is>
      </c>
      <c r="G2" s="2" t="inlineStr">
        <is>
          <t>Verdict
OK5</t>
        </is>
      </c>
      <c r="H2" s="2" t="inlineStr">
        <is>
          <t>Auditor Reasoning Summary</t>
        </is>
      </c>
    </row>
    <row r="3" ht="42" customHeight="1">
      <c r="A3" s="28" t="n">
        <v>3</v>
      </c>
      <c r="B3" s="28" t="inlineStr">
        <is>
          <t>Multi-sentence synthesis</t>
        </is>
      </c>
      <c r="C3" s="28" t="inlineStr">
        <is>
          <t>According to the provided texts, what is the relationship between Inductive and Deductive reasoning?</t>
        </is>
      </c>
      <c r="D3" s="5" t="inlineStr">
        <is>
          <t>1 ✓ Faithful</t>
        </is>
      </c>
      <c r="E3" s="6" t="inlineStr">
        <is>
          <t>0 ✗ Unfaithful</t>
        </is>
      </c>
      <c r="F3" s="5" t="inlineStr">
        <is>
          <t>1 ✓ Faithful</t>
        </is>
      </c>
      <c r="G3" s="5" t="inlineStr">
        <is>
          <t>1 ✓ Faithful</t>
        </is>
      </c>
      <c r="H3" s="28" t="inlineStr">
        <is>
          <t>The Model Answer attempts to synthesize the relationship by attributing specific concepts and definitions to authors (Jevons, Halleck, Brooks) and sources (Walker Atkinson) that are not strictly supported by the text segments.</t>
        </is>
      </c>
    </row>
    <row r="4" ht="42" customHeight="1">
      <c r="A4" s="30" t="n">
        <v>4</v>
      </c>
      <c r="B4" s="30" t="inlineStr">
        <is>
          <t>Cross-concept questions</t>
        </is>
      </c>
      <c r="C4" s="30" t="inlineStr">
        <is>
          <t>How does Jevons's view of "Substitution of Similars" relate to the "Dictum de omni et nullo" discussed by Mill?</t>
        </is>
      </c>
      <c r="D4" s="6" t="inlineStr">
        <is>
          <t>0 ✗ Unfaithful</t>
        </is>
      </c>
      <c r="E4" s="5" t="inlineStr">
        <is>
          <t>1 ✓ Faithful</t>
        </is>
      </c>
      <c r="F4" s="5" t="inlineStr">
        <is>
          <t>1 ✓ Faithful</t>
        </is>
      </c>
      <c r="G4" s="5" t="inlineStr">
        <is>
          <t>1 ✓ Faithful</t>
        </is>
      </c>
      <c r="H4" s="30" t="inlineStr">
        <is>
          <t>The provided source material consists entirely of excerpts from William Stanley Jevons's work. There is no information present in the chunks relating to John Stuart Mill or the "Dictum de omni et nullo." Therefore, no relationship between Jevons's view and Mill's concept could be established from th</t>
        </is>
      </c>
    </row>
    <row r="5" ht="42" customHeight="1">
      <c r="A5" s="28" t="n">
        <v>10</v>
      </c>
      <c r="B5" s="28" t="inlineStr">
        <is>
          <t>Cross-concept questions</t>
        </is>
      </c>
      <c r="C5" s="28" t="inlineStr">
        <is>
          <t>How does the psychological view of "Judgment" in William James differ from the logical view of "Proposition" in Carveth Read?</t>
        </is>
      </c>
      <c r="D5" s="5" t="inlineStr">
        <is>
          <t>1 ✓ Faithful</t>
        </is>
      </c>
      <c r="E5" s="5" t="inlineStr">
        <is>
          <t>1 ✓ Faithful</t>
        </is>
      </c>
      <c r="F5" s="5" t="inlineStr">
        <is>
          <t>1 ✓ Faithful</t>
        </is>
      </c>
      <c r="G5" s="6" t="inlineStr">
        <is>
          <t>0 ✗ Unfaithful</t>
        </is>
      </c>
      <c r="H5" s="28" t="inlineStr">
        <is>
          <t>The provided text segments define the relationship between Judgment and Proposition (Chunk 1, 2, 4) and the distinction between Logic and Psychology (Chunk 3, 5). However, the text does not mention William James, and therefore, no comparison between James's psychological view of Judgment and Carveth</t>
        </is>
      </c>
    </row>
    <row r="6" ht="42" customHeight="1">
      <c r="A6" s="30" t="n">
        <v>14</v>
      </c>
      <c r="B6" s="30" t="inlineStr">
        <is>
          <t>Single-passage factual</t>
        </is>
      </c>
      <c r="C6" s="30" t="inlineStr">
        <is>
          <t>What are the four general stages of the process of reasoning according to William Walker Atkinson?</t>
        </is>
      </c>
      <c r="D6" s="5" t="inlineStr">
        <is>
          <t>1 ✓ Faithful</t>
        </is>
      </c>
      <c r="E6" s="6" t="inlineStr">
        <is>
          <t>0 ✗ Unfaithful</t>
        </is>
      </c>
      <c r="F6" s="6" t="inlineStr">
        <is>
          <t>0 ✗ Unfaithful</t>
        </is>
      </c>
      <c r="G6" s="5" t="inlineStr">
        <is>
          <t>1 ✓ Faithful</t>
        </is>
      </c>
      <c r="H6" s="30" t="inlineStr">
        <is>
          <t>The model answer incorrectly extracts and structures the information. While the text states that "The processes of Reasoning may be said to comprise four general stages or steps" (Chunk 1), it only explicitly names the first stage, "Abstraction," as part of that enumeration. The model attempts to re</t>
        </is>
      </c>
    </row>
    <row r="7" ht="42" customHeight="1">
      <c r="A7" s="28" t="n">
        <v>17</v>
      </c>
      <c r="B7" s="28" t="inlineStr">
        <is>
          <t>Single-passage factual</t>
        </is>
      </c>
      <c r="C7" s="28" t="inlineStr">
        <is>
          <t>How does Carveth Read define a "Proposition"?</t>
        </is>
      </c>
      <c r="D7" s="5" t="inlineStr">
        <is>
          <t>1 ✓ Faithful</t>
        </is>
      </c>
      <c r="E7" s="5" t="inlineStr">
        <is>
          <t>1 ✓ Faithful</t>
        </is>
      </c>
      <c r="F7" s="6" t="inlineStr">
        <is>
          <t>0 ✗ Unfaithful</t>
        </is>
      </c>
      <c r="G7" s="5" t="inlineStr">
        <is>
          <t>1 ✓ Faithful</t>
        </is>
      </c>
      <c r="H7" s="28" t="inlineStr">
        <is>
          <t>The model answer incorrectly attributes the definition to Carveth Read. Chunk 5 states that John Stuart Mill defines a proposition as "a portion of discourse in which a predicate is affirmed or denied of a subject," not Carveth Read. There is no direct definition of "Proposition" attributed to Carve</t>
        </is>
      </c>
    </row>
  </sheetData>
  <mergeCells count="1">
    <mergeCell ref="A1:I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22" customWidth="1" min="1" max="1"/>
    <col width="16" customWidth="1" min="2" max="2"/>
    <col width="14" customWidth="1" min="3" max="3"/>
    <col width="14" customWidth="1" min="4" max="4"/>
    <col width="14" customWidth="1" min="5" max="5"/>
    <col width="30" customWidth="1" min="6" max="6"/>
  </cols>
  <sheetData>
    <row r="1" ht="26" customHeight="1">
      <c r="A1" s="1" t="inlineStr">
        <is>
          <t>Logic RAG — Iteration 1 vs Iteration 2: Key Metric Deltas</t>
        </is>
      </c>
    </row>
    <row r="2" ht="26" customHeight="1">
      <c r="A2" s="2" t="inlineStr">
        <is>
          <t>Configuration</t>
        </is>
      </c>
      <c r="B2" s="2" t="inlineStr">
        <is>
          <t>Metric</t>
        </is>
      </c>
      <c r="C2" s="2" t="inlineStr">
        <is>
          <t>Iteration 1</t>
        </is>
      </c>
      <c r="D2" s="2" t="inlineStr">
        <is>
          <t>Iteration 2</t>
        </is>
      </c>
      <c r="E2" s="2" t="inlineStr">
        <is>
          <t>Delta</t>
        </is>
      </c>
      <c r="F2" s="2" t="inlineStr">
        <is>
          <t>Observation</t>
        </is>
      </c>
    </row>
    <row r="3" ht="16" customHeight="1">
      <c r="A3" s="3" t="inlineStr">
        <is>
          <t>Clean · K=3</t>
        </is>
      </c>
      <c r="B3" s="28" t="inlineStr">
        <is>
          <t>Avg Precision@K</t>
        </is>
      </c>
      <c r="C3" s="4" t="inlineStr">
        <is>
          <t>0.483</t>
        </is>
      </c>
      <c r="D3" s="4" t="inlineStr">
        <is>
          <t>0.750</t>
        </is>
      </c>
      <c r="E3" s="5" t="inlineStr">
        <is>
          <t>+0.267</t>
        </is>
      </c>
      <c r="F3" s="28" t="inlineStr">
        <is>
          <t>▲ Improved</t>
        </is>
      </c>
    </row>
    <row r="4" ht="16" customHeight="1">
      <c r="A4" s="30" t="inlineStr"/>
      <c r="B4" s="30" t="inlineStr">
        <is>
          <t>Recall YES (count)</t>
        </is>
      </c>
      <c r="C4" s="8" t="inlineStr">
        <is>
          <t>11</t>
        </is>
      </c>
      <c r="D4" s="8" t="inlineStr">
        <is>
          <t>11</t>
        </is>
      </c>
      <c r="E4" s="8" t="inlineStr">
        <is>
          <t>+0</t>
        </is>
      </c>
      <c r="F4" s="30">
        <f> No change</f>
        <v/>
      </c>
    </row>
    <row r="5" ht="16" customHeight="1">
      <c r="A5" s="28" t="inlineStr"/>
      <c r="B5" s="28" t="inlineStr">
        <is>
          <t>Avg ROUGE-L</t>
        </is>
      </c>
      <c r="C5" s="4" t="inlineStr">
        <is>
          <t>0.232</t>
        </is>
      </c>
      <c r="D5" s="4" t="inlineStr">
        <is>
          <t>0.262</t>
        </is>
      </c>
      <c r="E5" s="5" t="inlineStr">
        <is>
          <t>+0.030</t>
        </is>
      </c>
      <c r="F5" s="28" t="inlineStr">
        <is>
          <t>▲ Improved</t>
        </is>
      </c>
    </row>
    <row r="6" ht="16" customHeight="1">
      <c r="A6" s="30" t="inlineStr"/>
      <c r="B6" s="30" t="inlineStr">
        <is>
          <t>Faithful answers</t>
        </is>
      </c>
      <c r="C6" s="8" t="inlineStr">
        <is>
          <t>15</t>
        </is>
      </c>
      <c r="D6" s="8" t="inlineStr">
        <is>
          <t>16</t>
        </is>
      </c>
      <c r="E6" s="5" t="inlineStr">
        <is>
          <t>+1</t>
        </is>
      </c>
      <c r="F6" s="30" t="inlineStr">
        <is>
          <t>▲ Improved</t>
        </is>
      </c>
    </row>
    <row r="7" ht="6" customHeight="1"/>
    <row r="8" ht="16" customHeight="1">
      <c r="A8" s="7" t="inlineStr">
        <is>
          <t>Overlap · K=3</t>
        </is>
      </c>
      <c r="B8" s="30" t="inlineStr">
        <is>
          <t>Avg Precision@K</t>
        </is>
      </c>
      <c r="C8" s="8" t="inlineStr">
        <is>
          <t>0.483</t>
        </is>
      </c>
      <c r="D8" s="8" t="inlineStr">
        <is>
          <t>0.800</t>
        </is>
      </c>
      <c r="E8" s="5" t="inlineStr">
        <is>
          <t>+0.317</t>
        </is>
      </c>
      <c r="F8" s="30" t="inlineStr">
        <is>
          <t>▲ Improved</t>
        </is>
      </c>
    </row>
    <row r="9" ht="16" customHeight="1">
      <c r="A9" s="28" t="inlineStr"/>
      <c r="B9" s="28" t="inlineStr">
        <is>
          <t>Recall YES (count)</t>
        </is>
      </c>
      <c r="C9" s="4" t="inlineStr">
        <is>
          <t>12</t>
        </is>
      </c>
      <c r="D9" s="4" t="inlineStr">
        <is>
          <t>14</t>
        </is>
      </c>
      <c r="E9" s="5" t="inlineStr">
        <is>
          <t>+2</t>
        </is>
      </c>
      <c r="F9" s="28" t="inlineStr">
        <is>
          <t>▲ Improved</t>
        </is>
      </c>
    </row>
    <row r="10" ht="16" customHeight="1">
      <c r="A10" s="30" t="inlineStr"/>
      <c r="B10" s="30" t="inlineStr">
        <is>
          <t>Avg ROUGE-L</t>
        </is>
      </c>
      <c r="C10" s="8" t="inlineStr">
        <is>
          <t>0.220</t>
        </is>
      </c>
      <c r="D10" s="8" t="inlineStr">
        <is>
          <t>0.258</t>
        </is>
      </c>
      <c r="E10" s="5" t="inlineStr">
        <is>
          <t>+0.038</t>
        </is>
      </c>
      <c r="F10" s="30" t="inlineStr">
        <is>
          <t>▲ Improved</t>
        </is>
      </c>
    </row>
    <row r="11" ht="16" customHeight="1">
      <c r="A11" s="28" t="inlineStr"/>
      <c r="B11" s="28" t="inlineStr">
        <is>
          <t>Faithful answers</t>
        </is>
      </c>
      <c r="C11" s="4" t="inlineStr">
        <is>
          <t>16</t>
        </is>
      </c>
      <c r="D11" s="4" t="inlineStr">
        <is>
          <t>15</t>
        </is>
      </c>
      <c r="E11" s="6" t="inlineStr">
        <is>
          <t>-1</t>
        </is>
      </c>
      <c r="F11" s="28" t="inlineStr">
        <is>
          <t>▼ Declined</t>
        </is>
      </c>
    </row>
    <row r="12" ht="6" customHeight="1"/>
    <row r="13" ht="16" customHeight="1">
      <c r="A13" s="3" t="inlineStr">
        <is>
          <t>Clean · K=5</t>
        </is>
      </c>
      <c r="B13" s="28" t="inlineStr">
        <is>
          <t>Avg Precision@K</t>
        </is>
      </c>
      <c r="C13" s="4" t="inlineStr">
        <is>
          <t>0.390</t>
        </is>
      </c>
      <c r="D13" s="4" t="inlineStr">
        <is>
          <t>0.760</t>
        </is>
      </c>
      <c r="E13" s="5" t="inlineStr">
        <is>
          <t>+0.370</t>
        </is>
      </c>
      <c r="F13" s="28" t="inlineStr">
        <is>
          <t>▲ Improved</t>
        </is>
      </c>
    </row>
    <row r="14" ht="16" customHeight="1">
      <c r="A14" s="30" t="inlineStr"/>
      <c r="B14" s="30" t="inlineStr">
        <is>
          <t>Recall YES (count)</t>
        </is>
      </c>
      <c r="C14" s="8" t="inlineStr">
        <is>
          <t>12</t>
        </is>
      </c>
      <c r="D14" s="8" t="inlineStr">
        <is>
          <t>11</t>
        </is>
      </c>
      <c r="E14" s="6" t="inlineStr">
        <is>
          <t>-1</t>
        </is>
      </c>
      <c r="F14" s="30" t="inlineStr">
        <is>
          <t>▼ Declined</t>
        </is>
      </c>
    </row>
    <row r="15" ht="16" customHeight="1">
      <c r="A15" s="28" t="inlineStr"/>
      <c r="B15" s="28" t="inlineStr">
        <is>
          <t>Avg ROUGE-L</t>
        </is>
      </c>
      <c r="C15" s="4" t="inlineStr">
        <is>
          <t>0.254</t>
        </is>
      </c>
      <c r="D15" s="4" t="inlineStr">
        <is>
          <t>0.235</t>
        </is>
      </c>
      <c r="E15" s="6" t="inlineStr">
        <is>
          <t>-0.019</t>
        </is>
      </c>
      <c r="F15" s="28" t="inlineStr">
        <is>
          <t>▼ Declined</t>
        </is>
      </c>
    </row>
    <row r="16" ht="16" customHeight="1">
      <c r="A16" s="30" t="inlineStr"/>
      <c r="B16" s="30" t="inlineStr">
        <is>
          <t>Faithful answers</t>
        </is>
      </c>
      <c r="C16" s="8" t="inlineStr">
        <is>
          <t>16</t>
        </is>
      </c>
      <c r="D16" s="8" t="inlineStr">
        <is>
          <t>15</t>
        </is>
      </c>
      <c r="E16" s="6" t="inlineStr">
        <is>
          <t>-1</t>
        </is>
      </c>
      <c r="F16" s="30" t="inlineStr">
        <is>
          <t>▼ Declined</t>
        </is>
      </c>
    </row>
    <row r="17" ht="6" customHeight="1"/>
    <row r="18" ht="16" customHeight="1">
      <c r="A18" s="7" t="inlineStr">
        <is>
          <t>Overlap · K=5</t>
        </is>
      </c>
      <c r="B18" s="30" t="inlineStr">
        <is>
          <t>Avg Precision@K</t>
        </is>
      </c>
      <c r="C18" s="8" t="inlineStr">
        <is>
          <t>0.450</t>
        </is>
      </c>
      <c r="D18" s="8" t="inlineStr">
        <is>
          <t>0.790</t>
        </is>
      </c>
      <c r="E18" s="5" t="inlineStr">
        <is>
          <t>+0.340</t>
        </is>
      </c>
      <c r="F18" s="30" t="inlineStr">
        <is>
          <t>▲ Improved</t>
        </is>
      </c>
    </row>
    <row r="19" ht="16" customHeight="1">
      <c r="A19" s="28" t="inlineStr"/>
      <c r="B19" s="28" t="inlineStr">
        <is>
          <t>Recall YES (count)</t>
        </is>
      </c>
      <c r="C19" s="4" t="inlineStr">
        <is>
          <t>12</t>
        </is>
      </c>
      <c r="D19" s="4" t="inlineStr">
        <is>
          <t>12</t>
        </is>
      </c>
      <c r="E19" s="4" t="inlineStr">
        <is>
          <t>+0</t>
        </is>
      </c>
      <c r="F19" s="28">
        <f> No change</f>
        <v/>
      </c>
    </row>
    <row r="20" ht="16" customHeight="1">
      <c r="A20" s="30" t="inlineStr"/>
      <c r="B20" s="30" t="inlineStr">
        <is>
          <t>Avg ROUGE-L</t>
        </is>
      </c>
      <c r="C20" s="8" t="inlineStr">
        <is>
          <t>0.220</t>
        </is>
      </c>
      <c r="D20" s="8" t="inlineStr">
        <is>
          <t>0.245</t>
        </is>
      </c>
      <c r="E20" s="5" t="inlineStr">
        <is>
          <t>+0.025</t>
        </is>
      </c>
      <c r="F20" s="30" t="inlineStr">
        <is>
          <t>▲ Improved</t>
        </is>
      </c>
    </row>
    <row r="21" ht="16" customHeight="1">
      <c r="A21" s="28" t="inlineStr"/>
      <c r="B21" s="28" t="inlineStr">
        <is>
          <t>Faithful answers</t>
        </is>
      </c>
      <c r="C21" s="4" t="inlineStr">
        <is>
          <t>15</t>
        </is>
      </c>
      <c r="D21" s="4" t="inlineStr">
        <is>
          <t>16</t>
        </is>
      </c>
      <c r="E21" s="5" t="inlineStr">
        <is>
          <t>+1</t>
        </is>
      </c>
      <c r="F21" s="28" t="inlineStr">
        <is>
          <t>▲ Improved</t>
        </is>
      </c>
    </row>
    <row r="22" ht="6" customHeight="1"/>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2026-04-30T20:58:55Z</dcterms:created>
  <dcterms:modified xmlns:dcterms="http://purl.org/dc/terms/" xmlns:xsi="http://www.w3.org/2001/XMLSchema-instance" xsi:type="dcterms:W3CDTF">2026-04-30T20:58:55Z</dcterms:modified>
</cp:coreProperties>
</file>